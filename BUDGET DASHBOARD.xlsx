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5"/>
  </sheets>
  <definedNames/>
  <calcPr/>
</workbook>
</file>

<file path=xl/sharedStrings.xml><?xml version="1.0" encoding="utf-8"?>
<sst xmlns="http://schemas.openxmlformats.org/spreadsheetml/2006/main" count="197" uniqueCount="83">
  <si>
    <t xml:space="preserve">     MARCH       </t>
  </si>
  <si>
    <t xml:space="preserve"> -BUDGET DASHBOARD-</t>
  </si>
  <si>
    <t>Left to Spend</t>
  </si>
  <si>
    <t>OVERVIEW</t>
  </si>
  <si>
    <t>LEFT</t>
  </si>
  <si>
    <t>Start Date</t>
  </si>
  <si>
    <t>REMAINING</t>
  </si>
  <si>
    <t>End Date</t>
  </si>
  <si>
    <t>Change Currency</t>
  </si>
  <si>
    <t>USD ($)</t>
  </si>
  <si>
    <t>Start Balance</t>
  </si>
  <si>
    <t>CASHFLOW</t>
  </si>
  <si>
    <t>BILLS</t>
  </si>
  <si>
    <t>EXPENSES</t>
  </si>
  <si>
    <t>DEBT</t>
  </si>
  <si>
    <t>$</t>
  </si>
  <si>
    <t>BUDGET</t>
  </si>
  <si>
    <t>ACTUAL</t>
  </si>
  <si>
    <t>CATEGORY</t>
  </si>
  <si>
    <t>DUE</t>
  </si>
  <si>
    <t>Rent</t>
  </si>
  <si>
    <t>Groceries</t>
  </si>
  <si>
    <t>Credit Card #1</t>
  </si>
  <si>
    <t>Electricity</t>
  </si>
  <si>
    <t>Dining Out</t>
  </si>
  <si>
    <t>Credit Card #2</t>
  </si>
  <si>
    <t>- Bills</t>
  </si>
  <si>
    <t>Water</t>
  </si>
  <si>
    <t>Coffee</t>
  </si>
  <si>
    <t>Student Loan</t>
  </si>
  <si>
    <t>- Expenses</t>
  </si>
  <si>
    <t>Internet</t>
  </si>
  <si>
    <t>Transportation</t>
  </si>
  <si>
    <t>Car Loan</t>
  </si>
  <si>
    <t>- Debt</t>
  </si>
  <si>
    <t>Mobile Plan</t>
  </si>
  <si>
    <t>Clothing</t>
  </si>
  <si>
    <t>Personal Loan</t>
  </si>
  <si>
    <t>- Savings</t>
  </si>
  <si>
    <t>Health Insurance</t>
  </si>
  <si>
    <t>Personal Care</t>
  </si>
  <si>
    <t>TOTAL</t>
  </si>
  <si>
    <t>Gym Membership</t>
  </si>
  <si>
    <t>Entertainment</t>
  </si>
  <si>
    <t>Loan / EMI</t>
  </si>
  <si>
    <t>Hobbies</t>
  </si>
  <si>
    <t>Books/Courses</t>
  </si>
  <si>
    <t>INCOME</t>
  </si>
  <si>
    <t>Snacks/Misc</t>
  </si>
  <si>
    <t>Gifts</t>
  </si>
  <si>
    <t>Travel</t>
  </si>
  <si>
    <t>Salary</t>
  </si>
  <si>
    <t>Freelance</t>
  </si>
  <si>
    <t>Part-time Job</t>
  </si>
  <si>
    <t>Rental Income</t>
  </si>
  <si>
    <t>Other</t>
  </si>
  <si>
    <t>SAVINGS</t>
  </si>
  <si>
    <t>Emergency Fund</t>
  </si>
  <si>
    <t>Vacation Fund</t>
  </si>
  <si>
    <t>Retirement/SIP</t>
  </si>
  <si>
    <t>New Laptop Fund</t>
  </si>
  <si>
    <t>Education Fund</t>
  </si>
  <si>
    <t>Rainy Day Buffer</t>
  </si>
  <si>
    <t>EXPENSE TRACKER</t>
  </si>
  <si>
    <t>SPENDING BREAKDOWN</t>
  </si>
  <si>
    <t>DATE</t>
  </si>
  <si>
    <t>AMOUNT</t>
  </si>
  <si>
    <t>NOTES</t>
  </si>
  <si>
    <t>Coffee — weekly</t>
  </si>
  <si>
    <t>%</t>
  </si>
  <si>
    <t>Dinner with friends</t>
  </si>
  <si>
    <t>Expenses</t>
  </si>
  <si>
    <t>Weekly grocery run</t>
  </si>
  <si>
    <t>Clothing — shirt</t>
  </si>
  <si>
    <t>Fuel &amp; commute</t>
  </si>
  <si>
    <t>Movies &amp; snacks</t>
  </si>
  <si>
    <t>Haircut &amp; grooming</t>
  </si>
  <si>
    <t>Hobby supplies</t>
  </si>
  <si>
    <t>Snacks &amp; convenience</t>
  </si>
  <si>
    <t>Online course</t>
  </si>
  <si>
    <t>Birthday gift</t>
  </si>
  <si>
    <t>Weekend trip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</si>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</sst>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dd mmmm yyyy"/>
    <numFmt numFmtId="166" formatCode="&quot;$&quot;#,##0.00"/>
  </numFmts>
  <fonts count="11">
    <font>
      <sz val="10.0"/>
      <color rgb="FF000000"/>
      <name val="Arial"/>
      <scheme val="minor"/>
    </font>
    <font>
      <b/>
      <sz val="45.0"/>
      <color rgb="FF4A86E8"/>
      <name val="Lobster"/>
    </font>
    <font/>
    <font>
      <sz val="13.0"/>
      <color rgb="FF4A86E8"/>
      <name val="Times New Roman"/>
    </font>
    <font>
      <color theme="1"/>
      <name val="Georgia"/>
    </font>
    <font>
      <b/>
      <sz val="12.0"/>
      <color rgb="FF000000"/>
      <name val="Arial"/>
      <scheme val="minor"/>
    </font>
    <font>
      <b/>
      <sz val="18.0"/>
      <color rgb="FF1C4587"/>
      <name val="EB Garamond"/>
    </font>
    <font>
      <b/>
      <sz val="13.0"/>
      <color rgb="FF000000"/>
      <name val="EB Garamond"/>
    </font>
    <font>
      <sz val="13.0"/>
      <color rgb="FF000000"/>
      <name val="EB Garamond"/>
    </font>
    <font>
      <color theme="1"/>
      <name val="Arial"/>
      <scheme val="minor"/>
    </font>
    <font>
      <sz val="13.0"/>
      <color theme="1"/>
      <name val="EB Garamond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rgb="FFDD7E6B"/>
        <bgColor rgb="FFDD7E6B"/>
      </patternFill>
    </fill>
    <fill>
      <patternFill patternType="solid">
        <fgColor theme="6"/>
        <bgColor theme="6"/>
      </patternFill>
    </fill>
    <fill>
      <patternFill patternType="solid">
        <fgColor rgb="FFA2C4C9"/>
        <bgColor rgb="FFA2C4C9"/>
      </patternFill>
    </fill>
    <fill>
      <patternFill patternType="solid">
        <fgColor rgb="FFFF00FF"/>
        <bgColor rgb="FFFF00FF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</fills>
  <borders count="24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EFEFEF"/>
      </left>
      <top style="thin">
        <color rgb="FFEFEFEF"/>
      </top>
    </border>
    <border>
      <top style="thin">
        <color rgb="FFEFEFEF"/>
      </top>
    </border>
    <border>
      <right style="thin">
        <color rgb="FFEFEFEF"/>
      </right>
      <top style="thin">
        <color rgb="FFEFEFEF"/>
      </top>
    </border>
    <border>
      <left style="thin">
        <color rgb="FFEFEFEF"/>
      </left>
      <bottom style="thin">
        <color rgb="FFEFEFEF"/>
      </bottom>
    </border>
    <border>
      <bottom style="thin">
        <color rgb="FFEFEFEF"/>
      </bottom>
    </border>
    <border>
      <right style="thin">
        <color rgb="FFEFEFEF"/>
      </right>
      <bottom style="thin">
        <color rgb="FFEFEFEF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</border>
    <border>
      <right style="thin">
        <color rgb="FFEFEFEF"/>
      </right>
    </border>
    <border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1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vertical="center"/>
    </xf>
    <xf borderId="0" fillId="0" fontId="5" numFmtId="0" xfId="0" applyFont="1"/>
    <xf borderId="4" fillId="3" fontId="6" numFmtId="0" xfId="0" applyAlignment="1" applyBorder="1" applyFill="1" applyFont="1">
      <alignment horizontal="center" vertical="center"/>
    </xf>
    <xf borderId="5" fillId="3" fontId="2" numFmtId="0" xfId="0" applyBorder="1" applyFont="1"/>
    <xf borderId="6" fillId="3" fontId="2" numFmtId="0" xfId="0" applyBorder="1" applyFont="1"/>
    <xf borderId="7" fillId="2" fontId="2" numFmtId="0" xfId="0" applyBorder="1" applyFont="1"/>
    <xf borderId="8" fillId="2" fontId="2" numFmtId="0" xfId="0" applyBorder="1" applyFont="1"/>
    <xf borderId="9" fillId="2" fontId="2" numFmtId="0" xfId="0" applyBorder="1" applyFont="1"/>
    <xf borderId="10" fillId="4" fontId="7" numFmtId="0" xfId="0" applyAlignment="1" applyBorder="1" applyFill="1" applyFont="1">
      <alignment horizontal="center" readingOrder="0"/>
    </xf>
    <xf borderId="10" fillId="2" fontId="5" numFmtId="0" xfId="0" applyAlignment="1" applyBorder="1" applyFont="1">
      <alignment readingOrder="0"/>
    </xf>
    <xf borderId="11" fillId="5" fontId="8" numFmtId="0" xfId="0" applyAlignment="1" applyBorder="1" applyFill="1" applyFont="1">
      <alignment horizontal="center" readingOrder="0"/>
    </xf>
    <xf borderId="12" fillId="5" fontId="2" numFmtId="0" xfId="0" applyBorder="1" applyFont="1"/>
    <xf borderId="11" fillId="5" fontId="8" numFmtId="164" xfId="0" applyAlignment="1" applyBorder="1" applyFont="1" applyNumberFormat="1">
      <alignment horizontal="center" readingOrder="0"/>
    </xf>
    <xf borderId="10" fillId="6" fontId="7" numFmtId="0" xfId="0" applyAlignment="1" applyBorder="1" applyFill="1" applyFont="1">
      <alignment horizontal="center" readingOrder="0"/>
    </xf>
    <xf borderId="10" fillId="0" fontId="5" numFmtId="0" xfId="0" applyBorder="1" applyFont="1"/>
    <xf borderId="11" fillId="2" fontId="8" numFmtId="0" xfId="0" applyAlignment="1" applyBorder="1" applyFont="1">
      <alignment horizontal="center" readingOrder="0"/>
    </xf>
    <xf borderId="12" fillId="2" fontId="2" numFmtId="0" xfId="0" applyBorder="1" applyFont="1"/>
    <xf borderId="11" fillId="2" fontId="8" numFmtId="164" xfId="0" applyAlignment="1" applyBorder="1" applyFont="1" applyNumberFormat="1">
      <alignment horizontal="center" readingOrder="0"/>
    </xf>
    <xf borderId="11" fillId="5" fontId="8" numFmtId="0" xfId="0" applyAlignment="1" applyBorder="1" applyFont="1">
      <alignment horizontal="center" vertical="bottom"/>
    </xf>
    <xf borderId="11" fillId="2" fontId="8" numFmtId="0" xfId="0" applyAlignment="1" applyBorder="1" applyFont="1">
      <alignment horizontal="center" vertical="bottom"/>
    </xf>
    <xf borderId="0" fillId="0" fontId="9" numFmtId="0" xfId="0" applyFont="1"/>
    <xf borderId="4" fillId="7" fontId="6" numFmtId="0" xfId="0" applyAlignment="1" applyBorder="1" applyFill="1" applyFont="1">
      <alignment horizontal="center" vertical="center"/>
    </xf>
    <xf borderId="13" fillId="8" fontId="6" numFmtId="0" xfId="0" applyAlignment="1" applyBorder="1" applyFill="1" applyFont="1">
      <alignment horizontal="center" vertical="center"/>
    </xf>
    <xf borderId="14" fillId="9" fontId="2" numFmtId="0" xfId="0" applyBorder="1" applyFill="1" applyFont="1"/>
    <xf borderId="15" fillId="9" fontId="2" numFmtId="0" xfId="0" applyBorder="1" applyFont="1"/>
    <xf borderId="4" fillId="10" fontId="6" numFmtId="0" xfId="0" applyAlignment="1" applyBorder="1" applyFill="1" applyFont="1">
      <alignment horizontal="center" vertical="center"/>
    </xf>
    <xf borderId="5" fillId="11" fontId="2" numFmtId="0" xfId="0" applyBorder="1" applyFill="1" applyFont="1"/>
    <xf borderId="6" fillId="11" fontId="2" numFmtId="0" xfId="0" applyBorder="1" applyFont="1"/>
    <xf borderId="4" fillId="6" fontId="6" numFmtId="0" xfId="0" applyAlignment="1" applyBorder="1" applyFont="1">
      <alignment horizontal="center" vertical="center"/>
    </xf>
    <xf borderId="16" fillId="2" fontId="2" numFmtId="0" xfId="0" applyBorder="1" applyFont="1"/>
    <xf borderId="17" fillId="2" fontId="2" numFmtId="0" xfId="0" applyBorder="1" applyFont="1"/>
    <xf borderId="18" fillId="2" fontId="2" numFmtId="0" xfId="0" applyBorder="1" applyFont="1"/>
    <xf borderId="19" fillId="5" fontId="10" numFmtId="0" xfId="0" applyAlignment="1" applyBorder="1" applyFont="1">
      <alignment horizontal="center" readingOrder="0"/>
    </xf>
    <xf borderId="19" fillId="5" fontId="8" numFmtId="0" xfId="0" applyAlignment="1" applyBorder="1" applyFont="1">
      <alignment horizontal="center" readingOrder="0"/>
    </xf>
    <xf borderId="19" fillId="0" fontId="8" numFmtId="0" xfId="0" applyAlignment="1" applyBorder="1" applyFont="1">
      <alignment horizontal="center" readingOrder="0"/>
    </xf>
    <xf borderId="19" fillId="2" fontId="8" numFmtId="0" xfId="0" applyAlignment="1" applyBorder="1" applyFont="1">
      <alignment horizontal="center" readingOrder="0"/>
    </xf>
    <xf borderId="4" fillId="12" fontId="6" numFmtId="0" xfId="0" applyAlignment="1" applyBorder="1" applyFill="1" applyFont="1">
      <alignment horizontal="center" vertical="center"/>
    </xf>
    <xf borderId="19" fillId="5" fontId="8" numFmtId="0" xfId="0" applyAlignment="1" applyBorder="1" applyFont="1">
      <alignment horizontal="center"/>
    </xf>
    <xf borderId="19" fillId="2" fontId="8" numFmtId="0" xfId="0" applyAlignment="1" applyBorder="1" applyFont="1">
      <alignment horizontal="center"/>
    </xf>
    <xf borderId="4" fillId="13" fontId="6" numFmtId="0" xfId="0" applyAlignment="1" applyBorder="1" applyFill="1" applyFont="1">
      <alignment horizontal="center" vertical="center"/>
    </xf>
    <xf borderId="4" fillId="14" fontId="6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4" fillId="15" fontId="6" numFmtId="0" xfId="0" applyAlignment="1" applyBorder="1" applyFill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20" fillId="3" fontId="2" numFmtId="0" xfId="0" applyBorder="1" applyFont="1"/>
    <xf borderId="21" fillId="3" fontId="2" numFmtId="0" xfId="0" applyBorder="1" applyFont="1"/>
    <xf borderId="22" fillId="2" fontId="2" numFmtId="0" xfId="0" applyBorder="1" applyFont="1"/>
    <xf borderId="19" fillId="5" fontId="8" numFmtId="164" xfId="0" applyAlignment="1" applyBorder="1" applyFont="1" applyNumberFormat="1">
      <alignment horizontal="center" readingOrder="0"/>
    </xf>
    <xf borderId="22" fillId="5" fontId="2" numFmtId="0" xfId="0" applyBorder="1" applyFont="1"/>
    <xf borderId="23" fillId="5" fontId="8" numFmtId="0" xfId="0" applyAlignment="1" applyBorder="1" applyFont="1">
      <alignment horizontal="center" readingOrder="0"/>
    </xf>
    <xf borderId="7" fillId="5" fontId="8" numFmtId="0" xfId="0" applyAlignment="1" applyBorder="1" applyFont="1">
      <alignment horizontal="center" readingOrder="0"/>
    </xf>
    <xf borderId="9" fillId="5" fontId="2" numFmtId="0" xfId="0" applyBorder="1" applyFont="1"/>
    <xf borderId="19" fillId="2" fontId="8" numFmtId="164" xfId="0" applyAlignment="1" applyBorder="1" applyFont="1" applyNumberFormat="1">
      <alignment horizontal="center" readingOrder="0"/>
    </xf>
    <xf borderId="7" fillId="2" fontId="8" numFmtId="10" xfId="0" applyAlignment="1" applyBorder="1" applyFont="1" applyNumberFormat="1">
      <alignment horizontal="center" readingOrder="0"/>
    </xf>
    <xf borderId="7" fillId="5" fontId="8" numFmtId="10" xfId="0" applyAlignment="1" applyBorder="1" applyFont="1" applyNumberFormat="1">
      <alignment horizontal="center" readingOrder="0"/>
    </xf>
    <xf borderId="0" fillId="2" fontId="9" numFmtId="0" xfId="0" applyFont="1"/>
    <xf borderId="0" fillId="0" fontId="9" numFmtId="164" xfId="0" applyFont="1" applyNumberFormat="1"/>
    <xf borderId="0" fillId="0" fontId="9" numFmtId="165" xfId="0" applyFont="1" applyNumberFormat="1"/>
    <xf borderId="0" fillId="0" fontId="9" numFmtId="166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">
    <tableStyle count="3" pivot="0" name="Sheet3-style">
      <tableStyleElement dxfId="1" type="headerRow"/>
      <tableStyleElement dxfId="2" type="firstRowStripe"/>
      <tableStyleElement dxfId="3" type="secondRowStripe"/>
    </tableStyle>
    <tableStyle count="2" pivot="0" name="Sheet3-style 2">
      <tableStyleElement dxfId="2" type="firstRowStripe"/>
      <tableStyleElement dxfId="4" type="secondRowStripe"/>
    </tableStyle>
    <tableStyle count="2" pivot="0" name="Sheet3-style 3">
      <tableStyleElement dxfId="2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000000"/>
                </a:solidFill>
                <a:latin typeface="Arial"/>
              </a:defRPr>
            </a:pPr>
            <a:r>
              <a:rPr b="1" i="0" sz="2400">
                <a:solidFill>
                  <a:srgbClr val="000000"/>
                </a:solidFill>
                <a:latin typeface="Arial"/>
              </a:rPr>
              <a:t>SPENDING CHART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Sheet3!$Q$50</c:f>
            </c:strRef>
          </c:tx>
          <c:dPt>
            <c:idx val="0"/>
            <c:explosion val="0"/>
            <c:spPr>
              <a:solidFill>
                <a:srgbClr val="8E7CC3"/>
              </a:solidFill>
              <a:ln cmpd="sng" w="9525">
                <a:solidFill>
                  <a:srgbClr val="666666"/>
                </a:solidFill>
              </a:ln>
            </c:spPr>
          </c:dPt>
          <c:dPt>
            <c:idx val="1"/>
            <c:spPr>
              <a:solidFill>
                <a:srgbClr val="E18FBA"/>
              </a:solidFill>
              <a:ln cmpd="sng" w="9525">
                <a:solidFill>
                  <a:srgbClr val="666666"/>
                </a:solidFill>
              </a:ln>
            </c:spPr>
          </c:dPt>
          <c:dPt>
            <c:idx val="2"/>
            <c:spPr>
              <a:solidFill>
                <a:srgbClr val="FCE5CD"/>
              </a:solidFill>
              <a:ln cmpd="sng" w="9525">
                <a:solidFill>
                  <a:srgbClr val="666666"/>
                </a:solidFill>
              </a:ln>
            </c:spPr>
          </c:dPt>
          <c:dPt>
            <c:idx val="3"/>
            <c:spPr>
              <a:solidFill>
                <a:srgbClr val="93C47D"/>
              </a:solidFill>
              <a:ln cmpd="sng" w="9525">
                <a:solidFill>
                  <a:srgbClr val="666666"/>
                </a:solidFill>
              </a:ln>
            </c:spPr>
          </c:dPt>
          <c:dPt>
            <c:idx val="4"/>
            <c:spPr>
              <a:solidFill>
                <a:srgbClr val="8E7CC3"/>
              </a:solidFill>
              <a:ln cmpd="sng" w="9525">
                <a:solidFill>
                  <a:srgbClr val="666666"/>
                </a:solidFill>
              </a:ln>
            </c:spPr>
          </c:dPt>
          <c:dPt>
            <c:idx val="5"/>
            <c:spPr>
              <a:solidFill>
                <a:srgbClr val="F6B26B"/>
              </a:solidFill>
              <a:ln cmpd="sng" w="9525">
                <a:solidFill>
                  <a:srgbClr val="666666"/>
                </a:solidFill>
              </a:ln>
            </c:spPr>
          </c:dPt>
          <c:dPt>
            <c:idx val="6"/>
            <c:explosion val="0"/>
            <c:spPr>
              <a:solidFill>
                <a:srgbClr val="B0A3D5"/>
              </a:solidFill>
              <a:ln cmpd="sng" w="9525">
                <a:solidFill>
                  <a:srgbClr val="666666"/>
                </a:solidFill>
              </a:ln>
            </c:spPr>
          </c:dPt>
          <c:dPt>
            <c:idx val="7"/>
            <c:spPr>
              <a:solidFill>
                <a:srgbClr val="EAB1CF"/>
              </a:solidFill>
              <a:ln cmpd="sng" w="9525">
                <a:solidFill>
                  <a:srgbClr val="666666"/>
                </a:solidFill>
              </a:ln>
            </c:spPr>
          </c:dPt>
          <c:dPt>
            <c:idx val="8"/>
            <c:spPr>
              <a:solidFill>
                <a:srgbClr val="FDEDDC"/>
              </a:solidFill>
              <a:ln cmpd="sng" w="9525">
                <a:solidFill>
                  <a:srgbClr val="666666"/>
                </a:solidFill>
              </a:ln>
            </c:spPr>
          </c:dPt>
          <c:dPt>
            <c:idx val="9"/>
            <c:spPr>
              <a:solidFill>
                <a:srgbClr val="B3D6A4"/>
              </a:solidFill>
              <a:ln cmpd="sng" w="9525">
                <a:solidFill>
                  <a:srgbClr val="666666"/>
                </a:solidFill>
              </a:ln>
            </c:spPr>
          </c:dPt>
          <c:dPt>
            <c:idx val="10"/>
            <c:spPr>
              <a:solidFill>
                <a:srgbClr val="B0A3D5"/>
              </a:solidFill>
              <a:ln cmpd="sng" w="9525">
                <a:solidFill>
                  <a:srgbClr val="666666"/>
                </a:solidFill>
              </a:ln>
            </c:spPr>
          </c:dPt>
          <c:dPt>
            <c:idx val="11"/>
            <c:spPr>
              <a:solidFill>
                <a:srgbClr val="F9C997"/>
              </a:solidFill>
              <a:ln cmpd="sng" w="9525">
                <a:solidFill>
                  <a:srgbClr val="666666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Sheet3!$N$51:$N$62</c:f>
            </c:strRef>
          </c:cat>
          <c:val>
            <c:numRef>
              <c:f>Sheet3!$Q$51:$Q$62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sz="16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BREAKDOWN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DD7E6B"/>
              </a:solidFill>
              <a:ln cmpd="sng" w="9525">
                <a:solidFill>
                  <a:srgbClr val="EFEFEF"/>
                </a:solidFill>
              </a:ln>
            </c:spPr>
          </c:dPt>
          <c:dPt>
            <c:idx val="1"/>
            <c:spPr>
              <a:solidFill>
                <a:srgbClr val="A2C4C9"/>
              </a:solidFill>
              <a:ln cmpd="sng" w="9525">
                <a:solidFill>
                  <a:srgbClr val="EFEFEF"/>
                </a:solidFill>
              </a:ln>
            </c:spPr>
          </c:dPt>
          <c:dPt>
            <c:idx val="2"/>
            <c:spPr>
              <a:solidFill>
                <a:srgbClr val="D5A6BD"/>
              </a:solidFill>
              <a:ln cmpd="sng" w="9525">
                <a:solidFill>
                  <a:srgbClr val="EFEFEF"/>
                </a:solidFill>
              </a:ln>
            </c:spPr>
          </c:dPt>
          <c:dPt>
            <c:idx val="3"/>
            <c:spPr>
              <a:solidFill>
                <a:srgbClr val="EAD1DC"/>
              </a:solidFill>
              <a:ln cmpd="sng" w="9525">
                <a:solidFill>
                  <a:srgbClr val="EFEFEF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Sheet3!$A$17:$A$20</c:f>
            </c:strRef>
          </c:cat>
          <c:val>
            <c:numRef>
              <c:f>Sheet3!$D$17:$D$20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sz="16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BUDGET VS ACTUAL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ACTUAL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lgDash"/>
            </a:ln>
          </c:spPr>
          <c:cat>
            <c:strRef>
              <c:f>Sheet3!$A$16:$A$20</c:f>
            </c:strRef>
          </c:cat>
          <c:val>
            <c:numRef>
              <c:f>Sheet3!$D$16:$D$20</c:f>
              <c:numCache/>
            </c:numRef>
          </c:val>
        </c:ser>
        <c:ser>
          <c:idx val="1"/>
          <c:order val="1"/>
          <c:tx>
            <c:v>BUDGET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  <a:prstDash val="lgDash"/>
            </a:ln>
          </c:spPr>
          <c:cat>
            <c:strRef>
              <c:f>Sheet3!$A$16:$A$20</c:f>
            </c:strRef>
          </c:cat>
          <c:val>
            <c:numRef>
              <c:f>Sheet3!$C$16:$C$20</c:f>
              <c:numCache/>
            </c:numRef>
          </c:val>
        </c:ser>
        <c:axId val="218953408"/>
        <c:axId val="1779865791"/>
      </c:barChart>
      <c:catAx>
        <c:axId val="21895340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56CEE0"/>
                    </a:solidFill>
                    <a:latin typeface="+mn-lt"/>
                  </a:defRPr>
                </a:pPr>
                <a:r>
                  <a:rPr b="0">
                    <a:solidFill>
                      <a:srgbClr val="56CEE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Arial"/>
              </a:defRPr>
            </a:pPr>
          </a:p>
        </c:txPr>
        <c:crossAx val="1779865791"/>
      </c:catAx>
      <c:valAx>
        <c:axId val="177986579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56CEE0"/>
                    </a:solidFill>
                    <a:latin typeface="+mn-lt"/>
                  </a:defRPr>
                </a:pPr>
                <a:r>
                  <a:rPr b="0">
                    <a:solidFill>
                      <a:srgbClr val="56CEE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218953408"/>
        <c:crosses val="max"/>
      </c:valAx>
    </c:plotArea>
    <c:legend>
      <c:legendPos val="t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LEFT TO SPEND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CCCCCC"/>
              </a:solidFill>
            </c:spPr>
          </c:dPt>
          <c:dPt>
            <c:idx val="1"/>
            <c:spPr>
              <a:solidFill>
                <a:srgbClr val="E18FBA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Sheet3!$F$5:$F$6</c:f>
            </c:strRef>
          </c:cat>
          <c:val>
            <c:numRef>
              <c:f>Sheet3!$G$5:$G$6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19050</xdr:colOff>
      <xdr:row>47</xdr:row>
      <xdr:rowOff>66675</xdr:rowOff>
    </xdr:from>
    <xdr:ext cx="5343525" cy="38862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19050</xdr:colOff>
      <xdr:row>0</xdr:row>
      <xdr:rowOff>0</xdr:rowOff>
    </xdr:from>
    <xdr:ext cx="5057775" cy="27908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38100</xdr:colOff>
      <xdr:row>0</xdr:row>
      <xdr:rowOff>95250</xdr:rowOff>
    </xdr:from>
    <xdr:ext cx="4791075" cy="26289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342900</xdr:colOff>
      <xdr:row>0</xdr:row>
      <xdr:rowOff>180975</xdr:rowOff>
    </xdr:from>
    <xdr:ext cx="3057525" cy="27432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F5:G6" displayName="Table_1" name="Table_1" id="1">
  <tableColumns count="2">
    <tableColumn name="Column1" id="1"/>
    <tableColumn name="Column2" id="2"/>
  </tableColumns>
  <tableStyleInfo name="Sheet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M14:R44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3-style 2" showColumnStripes="0" showFirstColumn="1" showLastColumn="1" showRowStripes="1"/>
</table>
</file>

<file path=xl/tables/table3.xml><?xml version="1.0" encoding="utf-8"?>
<table xmlns="http://schemas.openxmlformats.org/spreadsheetml/2006/main" headerRowCount="0" ref="T14:Y44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3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56CEE0"/>
      </a:dk1>
      <a:lt1>
        <a:srgbClr val="FFFFFF"/>
      </a:lt1>
      <a:dk2>
        <a:srgbClr val="56CEE0"/>
      </a:dk2>
      <a:lt2>
        <a:srgbClr val="FFFFFF"/>
      </a:lt2>
      <a:accent1>
        <a:srgbClr val="8E7CC3"/>
      </a:accent1>
      <a:accent2>
        <a:srgbClr val="E18FBA"/>
      </a:accent2>
      <a:accent3>
        <a:srgbClr val="FCE5CD"/>
      </a:accent3>
      <a:accent4>
        <a:srgbClr val="93C47D"/>
      </a:accent4>
      <a:accent5>
        <a:srgbClr val="8E7CC3"/>
      </a:accent5>
      <a:accent6>
        <a:srgbClr val="F6B26B"/>
      </a:accent6>
      <a:hlink>
        <a:srgbClr val="FFD966"/>
      </a:hlink>
      <a:folHlink>
        <a:srgbClr val="FFD9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4.5"/>
    <col customWidth="1" min="3" max="3" width="14.5"/>
    <col customWidth="1" min="4" max="4" width="16.5"/>
    <col customWidth="1" min="5" max="5" width="4.5"/>
    <col customWidth="1" min="6" max="6" width="15.75"/>
    <col customWidth="1" min="7" max="7" width="16.25"/>
    <col customWidth="1" min="8" max="8" width="10.38"/>
    <col customWidth="1" min="11" max="11" width="9.75"/>
    <col customWidth="1" min="12" max="12" width="4.25"/>
    <col customWidth="1" min="13" max="13" width="5.25"/>
    <col customWidth="1" min="14" max="14" width="13.63"/>
    <col customWidth="1" min="18" max="18" width="5.88"/>
    <col customWidth="1" min="19" max="19" width="4.0"/>
    <col customWidth="1" min="20" max="20" width="5.5"/>
    <col customWidth="1" min="22" max="22" width="14.0"/>
  </cols>
  <sheetData>
    <row r="1" ht="60.0" customHeight="1">
      <c r="A1" s="1" t="s">
        <v>0</v>
      </c>
      <c r="B1" s="2"/>
      <c r="C1" s="2"/>
      <c r="D1" s="3"/>
    </row>
    <row r="2" ht="23.25" customHeight="1">
      <c r="A2" s="4" t="s">
        <v>1</v>
      </c>
      <c r="F2" s="5" t="s">
        <v>2</v>
      </c>
    </row>
    <row r="3">
      <c r="F3" s="6">
        <f>IF(F2="Left to Spend", D21, C21-D21)</f>
        <v>1968</v>
      </c>
    </row>
    <row r="4">
      <c r="A4" s="7" t="s">
        <v>3</v>
      </c>
      <c r="B4" s="8"/>
      <c r="C4" s="8"/>
      <c r="D4" s="9"/>
    </row>
    <row r="5">
      <c r="A5" s="10"/>
      <c r="B5" s="11"/>
      <c r="C5" s="11"/>
      <c r="D5" s="12"/>
      <c r="F5" s="13" t="s">
        <v>4</v>
      </c>
      <c r="G5" s="14">
        <f>F3</f>
        <v>1968</v>
      </c>
    </row>
    <row r="6">
      <c r="A6" s="15" t="s">
        <v>5</v>
      </c>
      <c r="B6" s="16"/>
      <c r="C6" s="17">
        <v>45352.0</v>
      </c>
      <c r="D6" s="16"/>
      <c r="F6" s="18" t="s">
        <v>6</v>
      </c>
      <c r="G6" s="19">
        <f>D15+D16-F3</f>
        <v>3632</v>
      </c>
    </row>
    <row r="7">
      <c r="A7" s="20" t="s">
        <v>7</v>
      </c>
      <c r="B7" s="21"/>
      <c r="C7" s="22">
        <v>45382.0</v>
      </c>
      <c r="D7" s="21"/>
    </row>
    <row r="8">
      <c r="A8" s="23" t="s">
        <v>8</v>
      </c>
      <c r="B8" s="16"/>
      <c r="C8" s="23" t="s">
        <v>9</v>
      </c>
      <c r="D8" s="16"/>
    </row>
    <row r="9">
      <c r="A9" s="24" t="s">
        <v>10</v>
      </c>
      <c r="B9" s="21"/>
      <c r="C9" s="22">
        <v>1500.0</v>
      </c>
      <c r="D9" s="21"/>
    </row>
    <row r="11">
      <c r="T11" s="25"/>
      <c r="U11" s="25"/>
      <c r="V11" s="25"/>
      <c r="W11" s="25"/>
      <c r="X11" s="25"/>
      <c r="Y11" s="25"/>
    </row>
    <row r="12">
      <c r="A12" s="26" t="s">
        <v>11</v>
      </c>
      <c r="B12" s="8"/>
      <c r="C12" s="8"/>
      <c r="D12" s="9"/>
      <c r="F12" s="27" t="s">
        <v>12</v>
      </c>
      <c r="G12" s="28"/>
      <c r="H12" s="28"/>
      <c r="I12" s="28"/>
      <c r="J12" s="28"/>
      <c r="K12" s="29"/>
      <c r="M12" s="30" t="s">
        <v>13</v>
      </c>
      <c r="N12" s="31"/>
      <c r="O12" s="31"/>
      <c r="P12" s="31"/>
      <c r="Q12" s="31"/>
      <c r="R12" s="32"/>
      <c r="T12" s="33" t="s">
        <v>14</v>
      </c>
      <c r="U12" s="8"/>
      <c r="V12" s="8"/>
      <c r="W12" s="8"/>
      <c r="X12" s="8"/>
      <c r="Y12" s="9"/>
    </row>
    <row r="13">
      <c r="A13" s="10"/>
      <c r="B13" s="11"/>
      <c r="C13" s="11"/>
      <c r="D13" s="12"/>
      <c r="F13" s="34"/>
      <c r="G13" s="35"/>
      <c r="H13" s="35"/>
      <c r="I13" s="35"/>
      <c r="J13" s="35"/>
      <c r="K13" s="36"/>
      <c r="M13" s="10"/>
      <c r="N13" s="11"/>
      <c r="O13" s="11"/>
      <c r="P13" s="11"/>
      <c r="Q13" s="11"/>
      <c r="R13" s="12"/>
      <c r="T13" s="10"/>
      <c r="U13" s="11"/>
      <c r="V13" s="11"/>
      <c r="W13" s="11"/>
      <c r="X13" s="11"/>
      <c r="Y13" s="12"/>
    </row>
    <row r="14">
      <c r="A14" s="37"/>
      <c r="B14" s="38" t="s">
        <v>15</v>
      </c>
      <c r="C14" s="38" t="s">
        <v>16</v>
      </c>
      <c r="D14" s="38" t="s">
        <v>17</v>
      </c>
      <c r="F14" s="37"/>
      <c r="G14" s="38" t="s">
        <v>18</v>
      </c>
      <c r="H14" s="38" t="s">
        <v>19</v>
      </c>
      <c r="I14" s="38" t="s">
        <v>15</v>
      </c>
      <c r="J14" s="38" t="s">
        <v>16</v>
      </c>
      <c r="K14" s="38" t="s">
        <v>17</v>
      </c>
      <c r="M14" s="39"/>
      <c r="N14" s="39" t="s">
        <v>18</v>
      </c>
      <c r="O14" s="39" t="s">
        <v>15</v>
      </c>
      <c r="P14" s="39" t="s">
        <v>16</v>
      </c>
      <c r="Q14" s="39" t="s">
        <v>17</v>
      </c>
      <c r="R14" s="39" t="s">
        <v>4</v>
      </c>
      <c r="T14" s="39"/>
      <c r="U14" s="39" t="s">
        <v>18</v>
      </c>
      <c r="V14" s="39" t="s">
        <v>19</v>
      </c>
      <c r="W14" s="39" t="s">
        <v>15</v>
      </c>
      <c r="X14" s="39" t="s">
        <v>16</v>
      </c>
      <c r="Y14" s="39" t="s">
        <v>17</v>
      </c>
    </row>
    <row r="15">
      <c r="A15" s="40" t="str">
        <f>"+Start Balance"</f>
        <v>+Start Balance</v>
      </c>
      <c r="B15" s="40" t="s">
        <v>15</v>
      </c>
      <c r="C15" s="40">
        <v>1500.0</v>
      </c>
      <c r="D15" s="40">
        <v>1500.0</v>
      </c>
      <c r="F15" s="40" t="b">
        <v>1</v>
      </c>
      <c r="G15" s="40" t="s">
        <v>20</v>
      </c>
      <c r="H15" s="40">
        <v>1.0</v>
      </c>
      <c r="I15" s="40" t="s">
        <v>15</v>
      </c>
      <c r="J15" s="40">
        <v>950.0</v>
      </c>
      <c r="K15" s="40">
        <v>950.0</v>
      </c>
      <c r="M15" s="39" t="b">
        <v>1</v>
      </c>
      <c r="N15" s="39" t="s">
        <v>21</v>
      </c>
      <c r="O15" s="39" t="s">
        <v>15</v>
      </c>
      <c r="P15" s="39">
        <v>300.0</v>
      </c>
      <c r="Q15" s="39">
        <v>320.0</v>
      </c>
      <c r="R15" s="39">
        <f t="shared" ref="R15:R27" si="1">SUM(P15,-Q15)</f>
        <v>-20</v>
      </c>
      <c r="T15" s="39" t="b">
        <v>1</v>
      </c>
      <c r="U15" s="39" t="s">
        <v>22</v>
      </c>
      <c r="V15" s="39">
        <v>5.0</v>
      </c>
      <c r="W15" s="39" t="s">
        <v>15</v>
      </c>
      <c r="X15" s="39">
        <v>100.0</v>
      </c>
      <c r="Y15" s="39">
        <v>100.0</v>
      </c>
    </row>
    <row r="16">
      <c r="A16" s="38" t="str">
        <f> "+Income"</f>
        <v>+Income</v>
      </c>
      <c r="B16" s="38" t="s">
        <v>15</v>
      </c>
      <c r="C16" s="38">
        <v>4300.0</v>
      </c>
      <c r="D16" s="38">
        <v>4100.0</v>
      </c>
      <c r="F16" s="38" t="b">
        <v>1</v>
      </c>
      <c r="G16" s="38" t="s">
        <v>23</v>
      </c>
      <c r="H16" s="38">
        <v>5.0</v>
      </c>
      <c r="I16" s="38" t="s">
        <v>15</v>
      </c>
      <c r="J16" s="38">
        <v>80.0</v>
      </c>
      <c r="K16" s="38">
        <v>92.0</v>
      </c>
      <c r="M16" s="39" t="b">
        <v>1</v>
      </c>
      <c r="N16" s="39" t="s">
        <v>24</v>
      </c>
      <c r="O16" s="39" t="s">
        <v>15</v>
      </c>
      <c r="P16" s="39">
        <v>100.0</v>
      </c>
      <c r="Q16" s="39">
        <v>145.0</v>
      </c>
      <c r="R16" s="39">
        <f t="shared" si="1"/>
        <v>-45</v>
      </c>
      <c r="T16" s="39" t="b">
        <v>1</v>
      </c>
      <c r="U16" s="39" t="s">
        <v>25</v>
      </c>
      <c r="V16" s="39">
        <v>10.0</v>
      </c>
      <c r="W16" s="39" t="s">
        <v>15</v>
      </c>
      <c r="X16" s="39">
        <v>75.0</v>
      </c>
      <c r="Y16" s="39">
        <v>75.0</v>
      </c>
    </row>
    <row r="17">
      <c r="A17" s="40" t="s">
        <v>26</v>
      </c>
      <c r="B17" s="40" t="s">
        <v>15</v>
      </c>
      <c r="C17" s="40">
        <f t="shared" ref="C17:D17" si="2">J23</f>
        <v>1485</v>
      </c>
      <c r="D17" s="40">
        <f t="shared" si="2"/>
        <v>1494</v>
      </c>
      <c r="F17" s="40" t="b">
        <v>1</v>
      </c>
      <c r="G17" s="40" t="s">
        <v>27</v>
      </c>
      <c r="H17" s="40">
        <v>5.0</v>
      </c>
      <c r="I17" s="40" t="s">
        <v>15</v>
      </c>
      <c r="J17" s="40">
        <v>30.0</v>
      </c>
      <c r="K17" s="40">
        <v>27.0</v>
      </c>
      <c r="M17" s="39" t="b">
        <v>1</v>
      </c>
      <c r="N17" s="39" t="s">
        <v>28</v>
      </c>
      <c r="O17" s="39" t="s">
        <v>15</v>
      </c>
      <c r="P17" s="39">
        <v>40.0</v>
      </c>
      <c r="Q17" s="39">
        <v>62.0</v>
      </c>
      <c r="R17" s="39">
        <f t="shared" si="1"/>
        <v>-22</v>
      </c>
      <c r="T17" s="39" t="b">
        <v>1</v>
      </c>
      <c r="U17" s="39" t="s">
        <v>29</v>
      </c>
      <c r="V17" s="39">
        <v>15.0</v>
      </c>
      <c r="W17" s="39" t="s">
        <v>15</v>
      </c>
      <c r="X17" s="39">
        <v>150.0</v>
      </c>
      <c r="Y17" s="39">
        <v>150.0</v>
      </c>
    </row>
    <row r="18">
      <c r="A18" s="38" t="s">
        <v>30</v>
      </c>
      <c r="B18" s="38" t="s">
        <v>15</v>
      </c>
      <c r="C18" s="38">
        <f t="shared" ref="C18:D18" si="3">P27</f>
        <v>1005</v>
      </c>
      <c r="D18" s="38">
        <f t="shared" si="3"/>
        <v>1110</v>
      </c>
      <c r="F18" s="38" t="b">
        <v>1</v>
      </c>
      <c r="G18" s="38" t="s">
        <v>31</v>
      </c>
      <c r="H18" s="38">
        <v>7.0</v>
      </c>
      <c r="I18" s="38" t="s">
        <v>15</v>
      </c>
      <c r="J18" s="38">
        <v>40.0</v>
      </c>
      <c r="K18" s="38">
        <v>40.0</v>
      </c>
      <c r="M18" s="39" t="b">
        <v>1</v>
      </c>
      <c r="N18" s="39" t="s">
        <v>32</v>
      </c>
      <c r="O18" s="39" t="s">
        <v>15</v>
      </c>
      <c r="P18" s="39">
        <v>80.0</v>
      </c>
      <c r="Q18" s="39">
        <v>70.0</v>
      </c>
      <c r="R18" s="39">
        <f t="shared" si="1"/>
        <v>10</v>
      </c>
      <c r="T18" s="39" t="b">
        <v>1</v>
      </c>
      <c r="U18" s="39" t="s">
        <v>33</v>
      </c>
      <c r="V18" s="39">
        <v>1.0</v>
      </c>
      <c r="W18" s="39" t="s">
        <v>15</v>
      </c>
      <c r="X18" s="39">
        <v>200.0</v>
      </c>
      <c r="Y18" s="39">
        <v>200.0</v>
      </c>
    </row>
    <row r="19">
      <c r="A19" s="40" t="s">
        <v>34</v>
      </c>
      <c r="B19" s="40" t="s">
        <v>15</v>
      </c>
      <c r="C19" s="40">
        <f t="shared" ref="C19:D19" si="4">X20</f>
        <v>605</v>
      </c>
      <c r="D19" s="40">
        <f t="shared" si="4"/>
        <v>605</v>
      </c>
      <c r="F19" s="40" t="b">
        <v>1</v>
      </c>
      <c r="G19" s="40" t="s">
        <v>35</v>
      </c>
      <c r="H19" s="40">
        <v>10.0</v>
      </c>
      <c r="I19" s="40" t="s">
        <v>15</v>
      </c>
      <c r="J19" s="40">
        <v>35.0</v>
      </c>
      <c r="K19" s="40">
        <v>35.0</v>
      </c>
      <c r="M19" s="39" t="b">
        <v>1</v>
      </c>
      <c r="N19" s="39" t="s">
        <v>36</v>
      </c>
      <c r="O19" s="39" t="s">
        <v>15</v>
      </c>
      <c r="P19" s="39">
        <v>80.0</v>
      </c>
      <c r="Q19" s="39">
        <v>55.0</v>
      </c>
      <c r="R19" s="39">
        <f t="shared" si="1"/>
        <v>25</v>
      </c>
      <c r="T19" s="39" t="b">
        <v>1</v>
      </c>
      <c r="U19" s="39" t="s">
        <v>37</v>
      </c>
      <c r="V19" s="39">
        <v>20.0</v>
      </c>
      <c r="W19" s="39" t="s">
        <v>15</v>
      </c>
      <c r="X19" s="39">
        <v>80.0</v>
      </c>
      <c r="Y19" s="39">
        <v>80.0</v>
      </c>
    </row>
    <row r="20">
      <c r="A20" s="38" t="s">
        <v>38</v>
      </c>
      <c r="B20" s="38" t="s">
        <v>15</v>
      </c>
      <c r="C20" s="38">
        <v>450.0</v>
      </c>
      <c r="D20" s="38">
        <v>423.0</v>
      </c>
      <c r="F20" s="38" t="b">
        <v>1</v>
      </c>
      <c r="G20" s="38" t="s">
        <v>39</v>
      </c>
      <c r="H20" s="38">
        <v>1.0</v>
      </c>
      <c r="I20" s="38" t="s">
        <v>15</v>
      </c>
      <c r="J20" s="38">
        <v>120.0</v>
      </c>
      <c r="K20" s="38">
        <v>120.0</v>
      </c>
      <c r="M20" s="39" t="b">
        <v>1</v>
      </c>
      <c r="N20" s="39" t="s">
        <v>40</v>
      </c>
      <c r="O20" s="39" t="s">
        <v>15</v>
      </c>
      <c r="P20" s="39">
        <v>50.0</v>
      </c>
      <c r="Q20" s="39">
        <v>48.0</v>
      </c>
      <c r="R20" s="39">
        <f t="shared" si="1"/>
        <v>2</v>
      </c>
      <c r="T20" s="39"/>
      <c r="U20" s="39" t="s">
        <v>41</v>
      </c>
      <c r="V20" s="39"/>
      <c r="W20" s="39" t="s">
        <v>15</v>
      </c>
      <c r="X20" s="39">
        <f>SUMIF(T15:T19, TRUE,X15:X19)</f>
        <v>605</v>
      </c>
      <c r="Y20" s="39">
        <f>SUMIF(T15:T19,TRUE,Y15:Y19)</f>
        <v>605</v>
      </c>
    </row>
    <row r="21">
      <c r="A21" s="40" t="s">
        <v>4</v>
      </c>
      <c r="B21" s="40" t="s">
        <v>15</v>
      </c>
      <c r="C21" s="40">
        <f t="shared" ref="C21:D21" si="5">C15+C16-C17-C18-C19-C20</f>
        <v>2255</v>
      </c>
      <c r="D21" s="40">
        <f t="shared" si="5"/>
        <v>1968</v>
      </c>
      <c r="F21" s="40" t="b">
        <v>1</v>
      </c>
      <c r="G21" s="40" t="s">
        <v>42</v>
      </c>
      <c r="H21" s="40">
        <v>15.0</v>
      </c>
      <c r="I21" s="40" t="s">
        <v>15</v>
      </c>
      <c r="J21" s="40">
        <v>30.0</v>
      </c>
      <c r="K21" s="40">
        <v>30.0</v>
      </c>
      <c r="M21" s="39" t="b">
        <v>1</v>
      </c>
      <c r="N21" s="39" t="s">
        <v>43</v>
      </c>
      <c r="O21" s="39" t="s">
        <v>15</v>
      </c>
      <c r="P21" s="39">
        <v>75.0</v>
      </c>
      <c r="Q21" s="39">
        <v>90.0</v>
      </c>
      <c r="R21" s="39">
        <f t="shared" si="1"/>
        <v>-15</v>
      </c>
      <c r="T21" s="39"/>
      <c r="U21" s="39"/>
      <c r="V21" s="39"/>
      <c r="W21" s="39"/>
      <c r="X21" s="39"/>
      <c r="Y21" s="39"/>
    </row>
    <row r="22">
      <c r="F22" s="38" t="b">
        <v>1</v>
      </c>
      <c r="G22" s="38" t="s">
        <v>44</v>
      </c>
      <c r="H22" s="38">
        <v>15.0</v>
      </c>
      <c r="I22" s="38" t="s">
        <v>15</v>
      </c>
      <c r="J22" s="38">
        <v>200.0</v>
      </c>
      <c r="K22" s="38">
        <v>200.0</v>
      </c>
      <c r="M22" s="39" t="b">
        <v>1</v>
      </c>
      <c r="N22" s="39" t="s">
        <v>45</v>
      </c>
      <c r="O22" s="39" t="s">
        <v>15</v>
      </c>
      <c r="P22" s="39">
        <v>60.0</v>
      </c>
      <c r="Q22" s="39">
        <v>40.0</v>
      </c>
      <c r="R22" s="39">
        <f t="shared" si="1"/>
        <v>20</v>
      </c>
      <c r="T22" s="39"/>
      <c r="U22" s="39"/>
      <c r="V22" s="39"/>
      <c r="W22" s="39"/>
      <c r="X22" s="39"/>
      <c r="Y22" s="39"/>
    </row>
    <row r="23">
      <c r="F23" s="40"/>
      <c r="G23" s="40" t="s">
        <v>41</v>
      </c>
      <c r="H23" s="40"/>
      <c r="I23" s="40" t="s">
        <v>15</v>
      </c>
      <c r="J23" s="40">
        <f>SUMIF(F15:F22, TRUE, J15:J22)</f>
        <v>1485</v>
      </c>
      <c r="K23" s="40">
        <f>SUMIF(F15:F22, TRUE, K15:K22)</f>
        <v>1494</v>
      </c>
      <c r="M23" s="39" t="b">
        <v>1</v>
      </c>
      <c r="N23" s="39" t="s">
        <v>46</v>
      </c>
      <c r="O23" s="39" t="s">
        <v>15</v>
      </c>
      <c r="P23" s="39">
        <v>30.0</v>
      </c>
      <c r="Q23" s="39">
        <v>30.0</v>
      </c>
      <c r="R23" s="39">
        <f t="shared" si="1"/>
        <v>0</v>
      </c>
      <c r="T23" s="39"/>
      <c r="U23" s="39"/>
      <c r="V23" s="39"/>
      <c r="W23" s="39"/>
      <c r="X23" s="39"/>
      <c r="Y23" s="39"/>
    </row>
    <row r="24">
      <c r="A24" s="41" t="s">
        <v>47</v>
      </c>
      <c r="B24" s="8"/>
      <c r="C24" s="8"/>
      <c r="D24" s="9"/>
      <c r="F24" s="38"/>
      <c r="G24" s="38"/>
      <c r="H24" s="38"/>
      <c r="I24" s="38"/>
      <c r="J24" s="38"/>
      <c r="K24" s="38"/>
      <c r="M24" s="39" t="b">
        <v>1</v>
      </c>
      <c r="N24" s="39" t="s">
        <v>48</v>
      </c>
      <c r="O24" s="39" t="s">
        <v>15</v>
      </c>
      <c r="P24" s="39">
        <v>40.0</v>
      </c>
      <c r="Q24" s="39">
        <v>55.0</v>
      </c>
      <c r="R24" s="39">
        <f t="shared" si="1"/>
        <v>-15</v>
      </c>
      <c r="T24" s="39"/>
      <c r="U24" s="39"/>
      <c r="V24" s="39"/>
      <c r="W24" s="39"/>
      <c r="X24" s="39"/>
      <c r="Y24" s="39"/>
    </row>
    <row r="25">
      <c r="A25" s="10"/>
      <c r="B25" s="11"/>
      <c r="C25" s="11"/>
      <c r="D25" s="12"/>
      <c r="F25" s="40"/>
      <c r="G25" s="40"/>
      <c r="H25" s="40"/>
      <c r="I25" s="40"/>
      <c r="J25" s="40"/>
      <c r="K25" s="40"/>
      <c r="M25" s="39" t="b">
        <v>1</v>
      </c>
      <c r="N25" s="39" t="s">
        <v>49</v>
      </c>
      <c r="O25" s="39" t="s">
        <v>15</v>
      </c>
      <c r="P25" s="39">
        <v>50.0</v>
      </c>
      <c r="Q25" s="39">
        <v>20.0</v>
      </c>
      <c r="R25" s="39">
        <f t="shared" si="1"/>
        <v>30</v>
      </c>
      <c r="T25" s="39"/>
      <c r="U25" s="39"/>
      <c r="V25" s="39"/>
      <c r="W25" s="39"/>
      <c r="X25" s="39"/>
      <c r="Y25" s="39"/>
    </row>
    <row r="26">
      <c r="A26" s="38" t="s">
        <v>18</v>
      </c>
      <c r="B26" s="42" t="s">
        <v>15</v>
      </c>
      <c r="C26" s="38" t="s">
        <v>16</v>
      </c>
      <c r="D26" s="15" t="s">
        <v>17</v>
      </c>
      <c r="F26" s="38"/>
      <c r="G26" s="38"/>
      <c r="H26" s="38"/>
      <c r="I26" s="38"/>
      <c r="J26" s="38"/>
      <c r="K26" s="38"/>
      <c r="M26" s="39" t="b">
        <v>1</v>
      </c>
      <c r="N26" s="39" t="s">
        <v>50</v>
      </c>
      <c r="O26" s="39" t="s">
        <v>15</v>
      </c>
      <c r="P26" s="39">
        <v>100.0</v>
      </c>
      <c r="Q26" s="39">
        <v>175.0</v>
      </c>
      <c r="R26" s="39">
        <f t="shared" si="1"/>
        <v>-75</v>
      </c>
      <c r="T26" s="39"/>
      <c r="U26" s="39"/>
      <c r="V26" s="39"/>
      <c r="W26" s="39"/>
      <c r="X26" s="39"/>
      <c r="Y26" s="39"/>
    </row>
    <row r="27">
      <c r="A27" s="40" t="s">
        <v>51</v>
      </c>
      <c r="B27" s="43" t="s">
        <v>15</v>
      </c>
      <c r="C27" s="40">
        <v>3500.0</v>
      </c>
      <c r="D27" s="20">
        <v>3500.0</v>
      </c>
      <c r="F27" s="40"/>
      <c r="G27" s="40"/>
      <c r="H27" s="40"/>
      <c r="I27" s="40"/>
      <c r="J27" s="40"/>
      <c r="K27" s="40"/>
      <c r="M27" s="39"/>
      <c r="N27" s="39" t="s">
        <v>41</v>
      </c>
      <c r="O27" s="39" t="s">
        <v>15</v>
      </c>
      <c r="P27" s="39">
        <f>SUMIF(M14:M26, TRUE,P14:P26)</f>
        <v>1005</v>
      </c>
      <c r="Q27" s="39">
        <f>SUMIF(M15:M26, TRUE, Q15:Q26)</f>
        <v>1110</v>
      </c>
      <c r="R27" s="39">
        <f t="shared" si="1"/>
        <v>-105</v>
      </c>
      <c r="T27" s="39"/>
      <c r="U27" s="39"/>
      <c r="V27" s="39"/>
      <c r="W27" s="39"/>
      <c r="X27" s="39"/>
      <c r="Y27" s="39"/>
    </row>
    <row r="28">
      <c r="A28" s="38" t="s">
        <v>52</v>
      </c>
      <c r="B28" s="42" t="s">
        <v>15</v>
      </c>
      <c r="C28" s="38">
        <v>400.0</v>
      </c>
      <c r="D28" s="15">
        <v>250.0</v>
      </c>
      <c r="F28" s="38"/>
      <c r="G28" s="38"/>
      <c r="H28" s="38"/>
      <c r="I28" s="38"/>
      <c r="J28" s="38"/>
      <c r="K28" s="38"/>
      <c r="M28" s="39"/>
      <c r="N28" s="39"/>
      <c r="O28" s="39"/>
      <c r="P28" s="39"/>
      <c r="Q28" s="39"/>
      <c r="R28" s="39"/>
      <c r="T28" s="39"/>
      <c r="U28" s="39"/>
      <c r="V28" s="39"/>
      <c r="W28" s="39"/>
      <c r="X28" s="39"/>
      <c r="Y28" s="39"/>
    </row>
    <row r="29">
      <c r="A29" s="40" t="s">
        <v>53</v>
      </c>
      <c r="B29" s="43" t="s">
        <v>15</v>
      </c>
      <c r="C29" s="40">
        <v>200.0</v>
      </c>
      <c r="D29" s="20">
        <v>200.0</v>
      </c>
      <c r="F29" s="40"/>
      <c r="G29" s="40"/>
      <c r="H29" s="40"/>
      <c r="I29" s="40"/>
      <c r="J29" s="40"/>
      <c r="K29" s="40"/>
      <c r="M29" s="39"/>
      <c r="N29" s="39"/>
      <c r="O29" s="39"/>
      <c r="P29" s="39"/>
      <c r="Q29" s="39"/>
      <c r="R29" s="39"/>
      <c r="T29" s="39"/>
      <c r="U29" s="39"/>
      <c r="V29" s="39"/>
      <c r="W29" s="39"/>
      <c r="X29" s="39"/>
      <c r="Y29" s="39"/>
    </row>
    <row r="30">
      <c r="A30" s="38" t="s">
        <v>54</v>
      </c>
      <c r="B30" s="42" t="s">
        <v>15</v>
      </c>
      <c r="C30" s="38">
        <v>150.0</v>
      </c>
      <c r="D30" s="15">
        <v>150.0</v>
      </c>
      <c r="F30" s="38"/>
      <c r="G30" s="38"/>
      <c r="H30" s="38"/>
      <c r="I30" s="38"/>
      <c r="J30" s="38"/>
      <c r="K30" s="38"/>
      <c r="M30" s="39"/>
      <c r="N30" s="39"/>
      <c r="O30" s="39"/>
      <c r="P30" s="39"/>
      <c r="Q30" s="39"/>
      <c r="R30" s="39"/>
      <c r="T30" s="39"/>
      <c r="U30" s="39"/>
      <c r="V30" s="39"/>
      <c r="W30" s="39"/>
      <c r="X30" s="39"/>
      <c r="Y30" s="39"/>
    </row>
    <row r="31">
      <c r="A31" s="40" t="s">
        <v>55</v>
      </c>
      <c r="B31" s="43" t="s">
        <v>15</v>
      </c>
      <c r="C31" s="40">
        <v>50.0</v>
      </c>
      <c r="D31" s="20">
        <v>0.0</v>
      </c>
      <c r="F31" s="40"/>
      <c r="G31" s="40"/>
      <c r="H31" s="40"/>
      <c r="I31" s="40"/>
      <c r="J31" s="40"/>
      <c r="K31" s="40"/>
      <c r="M31" s="39"/>
      <c r="N31" s="39"/>
      <c r="O31" s="39"/>
      <c r="P31" s="39"/>
      <c r="Q31" s="39"/>
      <c r="R31" s="39"/>
      <c r="T31" s="39"/>
      <c r="U31" s="39"/>
      <c r="V31" s="39"/>
      <c r="W31" s="39"/>
      <c r="X31" s="39"/>
      <c r="Y31" s="39"/>
    </row>
    <row r="32">
      <c r="A32" s="38" t="s">
        <v>41</v>
      </c>
      <c r="B32" s="42" t="s">
        <v>15</v>
      </c>
      <c r="C32" s="38">
        <f t="shared" ref="C32:D32" si="6">SUM(C27:C31)</f>
        <v>4300</v>
      </c>
      <c r="D32" s="38">
        <f t="shared" si="6"/>
        <v>4100</v>
      </c>
      <c r="F32" s="38"/>
      <c r="G32" s="38"/>
      <c r="H32" s="38"/>
      <c r="I32" s="38"/>
      <c r="J32" s="38"/>
      <c r="K32" s="38"/>
      <c r="M32" s="39"/>
      <c r="N32" s="39"/>
      <c r="O32" s="39"/>
      <c r="P32" s="39"/>
      <c r="Q32" s="39"/>
      <c r="R32" s="39"/>
      <c r="T32" s="39"/>
      <c r="U32" s="39"/>
      <c r="V32" s="39"/>
      <c r="W32" s="39"/>
      <c r="X32" s="39"/>
      <c r="Y32" s="39"/>
    </row>
    <row r="33">
      <c r="F33" s="40"/>
      <c r="G33" s="40"/>
      <c r="H33" s="40"/>
      <c r="I33" s="40"/>
      <c r="J33" s="40"/>
      <c r="K33" s="40"/>
      <c r="M33" s="39"/>
      <c r="N33" s="39"/>
      <c r="O33" s="39"/>
      <c r="P33" s="39"/>
      <c r="Q33" s="39"/>
      <c r="R33" s="39"/>
      <c r="T33" s="39"/>
      <c r="U33" s="39"/>
      <c r="V33" s="39"/>
      <c r="W33" s="39"/>
      <c r="X33" s="39"/>
      <c r="Y33" s="39"/>
    </row>
    <row r="34">
      <c r="F34" s="38"/>
      <c r="G34" s="38"/>
      <c r="H34" s="38"/>
      <c r="I34" s="38"/>
      <c r="J34" s="38"/>
      <c r="K34" s="38"/>
      <c r="M34" s="39"/>
      <c r="N34" s="39"/>
      <c r="O34" s="39"/>
      <c r="P34" s="39"/>
      <c r="Q34" s="39"/>
      <c r="R34" s="39"/>
      <c r="T34" s="39"/>
      <c r="U34" s="39"/>
      <c r="V34" s="39"/>
      <c r="W34" s="39"/>
      <c r="X34" s="39"/>
      <c r="Y34" s="39"/>
    </row>
    <row r="35">
      <c r="A35" s="44" t="s">
        <v>56</v>
      </c>
      <c r="B35" s="8"/>
      <c r="C35" s="8"/>
      <c r="D35" s="9"/>
      <c r="F35" s="40"/>
      <c r="G35" s="40"/>
      <c r="H35" s="40"/>
      <c r="I35" s="40"/>
      <c r="J35" s="40"/>
      <c r="K35" s="40"/>
      <c r="M35" s="39"/>
      <c r="N35" s="39"/>
      <c r="O35" s="39"/>
      <c r="P35" s="39"/>
      <c r="Q35" s="39"/>
      <c r="R35" s="39"/>
      <c r="T35" s="39"/>
      <c r="U35" s="39"/>
      <c r="V35" s="39"/>
      <c r="W35" s="39"/>
      <c r="X35" s="39"/>
      <c r="Y35" s="39"/>
    </row>
    <row r="36">
      <c r="A36" s="10"/>
      <c r="B36" s="11"/>
      <c r="C36" s="11"/>
      <c r="D36" s="12"/>
      <c r="F36" s="38"/>
      <c r="G36" s="38"/>
      <c r="H36" s="38"/>
      <c r="I36" s="38"/>
      <c r="J36" s="38"/>
      <c r="K36" s="38"/>
      <c r="M36" s="39"/>
      <c r="N36" s="39"/>
      <c r="O36" s="39"/>
      <c r="P36" s="39"/>
      <c r="Q36" s="39"/>
      <c r="R36" s="39"/>
      <c r="T36" s="39"/>
      <c r="U36" s="39"/>
      <c r="V36" s="39"/>
      <c r="W36" s="39"/>
      <c r="X36" s="39"/>
      <c r="Y36" s="39"/>
    </row>
    <row r="37">
      <c r="A37" s="38" t="s">
        <v>18</v>
      </c>
      <c r="B37" s="42" t="s">
        <v>15</v>
      </c>
      <c r="C37" s="38" t="s">
        <v>16</v>
      </c>
      <c r="D37" s="15" t="s">
        <v>17</v>
      </c>
      <c r="F37" s="40"/>
      <c r="G37" s="40"/>
      <c r="H37" s="40"/>
      <c r="I37" s="40"/>
      <c r="J37" s="40"/>
      <c r="K37" s="40"/>
      <c r="M37" s="39"/>
      <c r="N37" s="39"/>
      <c r="O37" s="39"/>
      <c r="P37" s="39"/>
      <c r="Q37" s="39"/>
      <c r="R37" s="39"/>
      <c r="T37" s="39"/>
      <c r="U37" s="39"/>
      <c r="V37" s="39"/>
      <c r="W37" s="39"/>
      <c r="X37" s="39"/>
      <c r="Y37" s="39"/>
    </row>
    <row r="38">
      <c r="A38" s="40" t="s">
        <v>57</v>
      </c>
      <c r="B38" s="43" t="s">
        <v>15</v>
      </c>
      <c r="C38" s="40">
        <v>150.0</v>
      </c>
      <c r="D38" s="20">
        <v>150.0</v>
      </c>
      <c r="F38" s="38"/>
      <c r="G38" s="38"/>
      <c r="H38" s="38"/>
      <c r="I38" s="38"/>
      <c r="J38" s="38"/>
      <c r="K38" s="38"/>
      <c r="M38" s="39"/>
      <c r="N38" s="39"/>
      <c r="O38" s="39"/>
      <c r="P38" s="39"/>
      <c r="Q38" s="39"/>
      <c r="R38" s="39"/>
      <c r="T38" s="39"/>
      <c r="U38" s="39"/>
      <c r="V38" s="39"/>
      <c r="W38" s="39"/>
      <c r="X38" s="39"/>
      <c r="Y38" s="39"/>
    </row>
    <row r="39">
      <c r="A39" s="38" t="s">
        <v>58</v>
      </c>
      <c r="B39" s="42" t="s">
        <v>15</v>
      </c>
      <c r="C39" s="38">
        <v>80.0</v>
      </c>
      <c r="D39" s="15">
        <v>80.0</v>
      </c>
      <c r="F39" s="40"/>
      <c r="G39" s="40"/>
      <c r="H39" s="40"/>
      <c r="I39" s="40"/>
      <c r="J39" s="40"/>
      <c r="K39" s="40"/>
      <c r="M39" s="39"/>
      <c r="N39" s="39"/>
      <c r="O39" s="39"/>
      <c r="P39" s="39"/>
      <c r="Q39" s="39"/>
      <c r="R39" s="39"/>
      <c r="T39" s="39"/>
      <c r="U39" s="39"/>
      <c r="V39" s="39"/>
      <c r="W39" s="39"/>
      <c r="X39" s="39"/>
      <c r="Y39" s="39"/>
    </row>
    <row r="40">
      <c r="A40" s="40" t="s">
        <v>59</v>
      </c>
      <c r="B40" s="43" t="s">
        <v>15</v>
      </c>
      <c r="C40" s="40">
        <v>80.0</v>
      </c>
      <c r="D40" s="20">
        <v>80.0</v>
      </c>
      <c r="F40" s="38"/>
      <c r="G40" s="38"/>
      <c r="H40" s="38"/>
      <c r="I40" s="38"/>
      <c r="J40" s="38"/>
      <c r="K40" s="38"/>
      <c r="M40" s="39"/>
      <c r="N40" s="39"/>
      <c r="O40" s="39"/>
      <c r="P40" s="39"/>
      <c r="Q40" s="39"/>
      <c r="R40" s="39"/>
      <c r="T40" s="39"/>
      <c r="U40" s="39"/>
      <c r="V40" s="39"/>
      <c r="W40" s="39"/>
      <c r="X40" s="39"/>
      <c r="Y40" s="39"/>
    </row>
    <row r="41">
      <c r="A41" s="38" t="s">
        <v>60</v>
      </c>
      <c r="B41" s="42" t="s">
        <v>15</v>
      </c>
      <c r="C41" s="38">
        <v>50.0</v>
      </c>
      <c r="D41" s="15">
        <v>30.0</v>
      </c>
      <c r="F41" s="40"/>
      <c r="G41" s="40"/>
      <c r="H41" s="40"/>
      <c r="I41" s="40"/>
      <c r="J41" s="40"/>
      <c r="K41" s="40"/>
      <c r="M41" s="39"/>
      <c r="N41" s="39"/>
      <c r="O41" s="39"/>
      <c r="P41" s="39"/>
      <c r="Q41" s="39"/>
      <c r="R41" s="39"/>
      <c r="T41" s="39"/>
      <c r="U41" s="39"/>
      <c r="V41" s="39"/>
      <c r="W41" s="39"/>
      <c r="X41" s="39"/>
      <c r="Y41" s="39"/>
    </row>
    <row r="42">
      <c r="A42" s="40" t="s">
        <v>61</v>
      </c>
      <c r="B42" s="43" t="s">
        <v>15</v>
      </c>
      <c r="C42" s="40">
        <v>50.0</v>
      </c>
      <c r="D42" s="20">
        <v>50.0</v>
      </c>
      <c r="F42" s="38"/>
      <c r="G42" s="38"/>
      <c r="H42" s="38"/>
      <c r="I42" s="38"/>
      <c r="J42" s="38"/>
      <c r="K42" s="38"/>
      <c r="M42" s="39"/>
      <c r="N42" s="39"/>
      <c r="O42" s="39"/>
      <c r="P42" s="39"/>
      <c r="Q42" s="39"/>
      <c r="R42" s="39"/>
      <c r="T42" s="39"/>
      <c r="U42" s="39"/>
      <c r="V42" s="39"/>
      <c r="W42" s="39"/>
      <c r="X42" s="39"/>
      <c r="Y42" s="39"/>
    </row>
    <row r="43">
      <c r="A43" s="38" t="s">
        <v>62</v>
      </c>
      <c r="B43" s="42" t="s">
        <v>15</v>
      </c>
      <c r="C43" s="38">
        <v>40.0</v>
      </c>
      <c r="D43" s="38">
        <v>33.0</v>
      </c>
      <c r="F43" s="40"/>
      <c r="G43" s="40"/>
      <c r="H43" s="40"/>
      <c r="I43" s="40"/>
      <c r="J43" s="40"/>
      <c r="K43" s="40"/>
      <c r="M43" s="39"/>
      <c r="N43" s="39"/>
      <c r="O43" s="39"/>
      <c r="P43" s="39"/>
      <c r="Q43" s="39"/>
      <c r="R43" s="39"/>
      <c r="T43" s="39"/>
      <c r="U43" s="39"/>
      <c r="V43" s="39"/>
      <c r="W43" s="39"/>
      <c r="X43" s="39"/>
      <c r="Y43" s="39"/>
    </row>
    <row r="44">
      <c r="A44" s="40" t="s">
        <v>41</v>
      </c>
      <c r="B44" s="40" t="s">
        <v>15</v>
      </c>
      <c r="C44" s="40">
        <f t="shared" ref="C44:D44" si="7">SUM(C38:C43)</f>
        <v>450</v>
      </c>
      <c r="D44" s="40">
        <f t="shared" si="7"/>
        <v>423</v>
      </c>
      <c r="F44" s="38"/>
      <c r="G44" s="38"/>
      <c r="H44" s="38"/>
      <c r="I44" s="38"/>
      <c r="J44" s="38"/>
      <c r="K44" s="38"/>
      <c r="M44" s="39"/>
      <c r="N44" s="39"/>
      <c r="O44" s="39"/>
      <c r="P44" s="39"/>
      <c r="Q44" s="39"/>
      <c r="R44" s="39"/>
      <c r="T44" s="39"/>
      <c r="U44" s="39"/>
      <c r="V44" s="39"/>
      <c r="W44" s="39"/>
      <c r="X44" s="39"/>
      <c r="Y44" s="39"/>
    </row>
    <row r="47">
      <c r="A47" s="45" t="s">
        <v>63</v>
      </c>
      <c r="B47" s="8"/>
      <c r="C47" s="8"/>
      <c r="D47" s="8"/>
      <c r="E47" s="46"/>
      <c r="F47" s="46"/>
      <c r="G47" s="46"/>
      <c r="H47" s="46"/>
      <c r="I47" s="46"/>
      <c r="J47" s="46"/>
      <c r="K47" s="47"/>
      <c r="M47" s="48" t="s">
        <v>64</v>
      </c>
      <c r="N47" s="46"/>
      <c r="O47" s="46"/>
      <c r="P47" s="46"/>
      <c r="Q47" s="46"/>
      <c r="R47" s="47"/>
    </row>
    <row r="48">
      <c r="A48" s="10"/>
      <c r="B48" s="11"/>
      <c r="C48" s="11"/>
      <c r="D48" s="11"/>
      <c r="E48" s="49"/>
      <c r="F48" s="49"/>
      <c r="G48" s="49"/>
      <c r="H48" s="49"/>
      <c r="I48" s="49"/>
      <c r="J48" s="49"/>
      <c r="K48" s="50"/>
      <c r="M48" s="51"/>
      <c r="R48" s="52"/>
    </row>
    <row r="49">
      <c r="A49" s="40" t="s">
        <v>65</v>
      </c>
      <c r="B49" s="40" t="s">
        <v>15</v>
      </c>
      <c r="C49" s="40" t="s">
        <v>66</v>
      </c>
      <c r="D49" s="40" t="s">
        <v>18</v>
      </c>
      <c r="E49" s="20" t="s">
        <v>67</v>
      </c>
      <c r="F49" s="53"/>
      <c r="G49" s="53"/>
      <c r="H49" s="53"/>
      <c r="I49" s="21"/>
      <c r="M49" s="10"/>
      <c r="N49" s="11"/>
      <c r="O49" s="11"/>
      <c r="P49" s="11"/>
      <c r="Q49" s="11"/>
      <c r="R49" s="12"/>
    </row>
    <row r="50">
      <c r="A50" s="54">
        <v>45353.0</v>
      </c>
      <c r="B50" s="38" t="s">
        <v>15</v>
      </c>
      <c r="C50" s="38">
        <v>62.0</v>
      </c>
      <c r="D50" s="38" t="s">
        <v>24</v>
      </c>
      <c r="E50" s="15" t="s">
        <v>68</v>
      </c>
      <c r="F50" s="55"/>
      <c r="G50" s="55"/>
      <c r="H50" s="55"/>
      <c r="I50" s="16"/>
      <c r="M50" s="56"/>
      <c r="N50" s="56" t="s">
        <v>18</v>
      </c>
      <c r="O50" s="56" t="s">
        <v>15</v>
      </c>
      <c r="P50" s="56" t="s">
        <v>66</v>
      </c>
      <c r="Q50" s="57" t="s">
        <v>69</v>
      </c>
      <c r="R50" s="58"/>
    </row>
    <row r="51">
      <c r="A51" s="59">
        <v>45354.0</v>
      </c>
      <c r="B51" s="40" t="s">
        <v>15</v>
      </c>
      <c r="C51" s="40">
        <v>145.0</v>
      </c>
      <c r="D51" s="40" t="s">
        <v>28</v>
      </c>
      <c r="E51" s="20" t="s">
        <v>70</v>
      </c>
      <c r="F51" s="53"/>
      <c r="G51" s="53"/>
      <c r="H51" s="53"/>
      <c r="I51" s="21"/>
      <c r="M51" s="40" t="b">
        <v>1</v>
      </c>
      <c r="N51" s="40" t="str">
        <f>IFERROR(__xludf.DUMMYFUNCTION("SORT(FILTER(N15:N26, Q15:Q26&gt;0), FILTER(Q15:Q26, Q15:Q26&gt;0)/SUM(FILTER(Q15:Q26, Q15:Q26&gt;0)), FALSE)"),"Groceries")</f>
        <v>Groceries</v>
      </c>
      <c r="O51" s="40" t="s">
        <v>15</v>
      </c>
      <c r="P51" s="40">
        <f>IFERROR(__xludf.DUMMYFUNCTION("SORT(FILTER(Q15:Q26, Q15:Q26&gt;0), FILTER(Q15:Q26, Q15:Q26&gt;0), FALSE)"),320.0)</f>
        <v>320</v>
      </c>
      <c r="Q51" s="60">
        <f>IFERROR(__xludf.DUMMYFUNCTION("SORT(FILTER(Q15:Q26, Q15:Q26&gt;0)/SUM(FILTER(Q15:Q26, Q15:Q26&gt;0)), FILTER(Q15:Q26, Q15:Q26&gt;0), FALSE)"),0.2882882882882883)</f>
        <v>0.2882882883</v>
      </c>
      <c r="R51" s="12"/>
    </row>
    <row r="52">
      <c r="A52" s="54">
        <v>45355.0</v>
      </c>
      <c r="B52" s="38" t="s">
        <v>15</v>
      </c>
      <c r="C52" s="38">
        <v>320.0</v>
      </c>
      <c r="D52" s="38" t="s">
        <v>71</v>
      </c>
      <c r="E52" s="15" t="s">
        <v>72</v>
      </c>
      <c r="F52" s="55"/>
      <c r="G52" s="55"/>
      <c r="H52" s="55"/>
      <c r="I52" s="16"/>
      <c r="M52" s="38" t="b">
        <v>1</v>
      </c>
      <c r="N52" s="38" t="str">
        <f>IFERROR(__xludf.DUMMYFUNCTION("""COMPUTED_VALUE"""),"Travel")</f>
        <v>Travel</v>
      </c>
      <c r="O52" s="38" t="s">
        <v>15</v>
      </c>
      <c r="P52" s="38">
        <f>IFERROR(__xludf.DUMMYFUNCTION("""COMPUTED_VALUE"""),175.0)</f>
        <v>175</v>
      </c>
      <c r="Q52" s="61">
        <f>IFERROR(__xludf.DUMMYFUNCTION("""COMPUTED_VALUE"""),0.15765765765765766)</f>
        <v>0.1576576577</v>
      </c>
      <c r="R52" s="58"/>
    </row>
    <row r="53">
      <c r="A53" s="59">
        <v>45357.0</v>
      </c>
      <c r="B53" s="40" t="s">
        <v>15</v>
      </c>
      <c r="C53" s="40">
        <v>55.0</v>
      </c>
      <c r="D53" s="40" t="s">
        <v>71</v>
      </c>
      <c r="E53" s="20" t="s">
        <v>73</v>
      </c>
      <c r="F53" s="53"/>
      <c r="G53" s="53"/>
      <c r="H53" s="53"/>
      <c r="I53" s="21"/>
      <c r="M53" s="40" t="b">
        <v>1</v>
      </c>
      <c r="N53" s="40" t="str">
        <f>IFERROR(__xludf.DUMMYFUNCTION("""COMPUTED_VALUE"""),"Dining Out")</f>
        <v>Dining Out</v>
      </c>
      <c r="O53" s="40" t="s">
        <v>15</v>
      </c>
      <c r="P53" s="40">
        <f>IFERROR(__xludf.DUMMYFUNCTION("""COMPUTED_VALUE"""),145.0)</f>
        <v>145</v>
      </c>
      <c r="Q53" s="60">
        <f>IFERROR(__xludf.DUMMYFUNCTION("""COMPUTED_VALUE"""),0.13063063063063063)</f>
        <v>0.1306306306</v>
      </c>
      <c r="R53" s="12"/>
    </row>
    <row r="54">
      <c r="A54" s="54">
        <v>45359.0</v>
      </c>
      <c r="B54" s="38" t="s">
        <v>15</v>
      </c>
      <c r="C54" s="38">
        <v>70.0</v>
      </c>
      <c r="D54" s="38" t="s">
        <v>71</v>
      </c>
      <c r="E54" s="15" t="s">
        <v>74</v>
      </c>
      <c r="F54" s="55"/>
      <c r="G54" s="55"/>
      <c r="H54" s="55"/>
      <c r="I54" s="16"/>
      <c r="M54" s="38" t="b">
        <v>1</v>
      </c>
      <c r="N54" s="38" t="str">
        <f>IFERROR(__xludf.DUMMYFUNCTION("""COMPUTED_VALUE"""),"Entertainment")</f>
        <v>Entertainment</v>
      </c>
      <c r="O54" s="38" t="s">
        <v>15</v>
      </c>
      <c r="P54" s="38">
        <f>IFERROR(__xludf.DUMMYFUNCTION("""COMPUTED_VALUE"""),90.0)</f>
        <v>90</v>
      </c>
      <c r="Q54" s="61">
        <f>IFERROR(__xludf.DUMMYFUNCTION("""COMPUTED_VALUE"""),0.08108108108108109)</f>
        <v>0.08108108108</v>
      </c>
      <c r="R54" s="58"/>
      <c r="AA54" s="62"/>
    </row>
    <row r="55">
      <c r="A55" s="59">
        <v>45360.0</v>
      </c>
      <c r="B55" s="40" t="s">
        <v>15</v>
      </c>
      <c r="C55" s="40">
        <v>90.0</v>
      </c>
      <c r="D55" s="40" t="s">
        <v>28</v>
      </c>
      <c r="E55" s="20" t="s">
        <v>75</v>
      </c>
      <c r="F55" s="53"/>
      <c r="G55" s="53"/>
      <c r="H55" s="53"/>
      <c r="I55" s="21"/>
      <c r="M55" s="40" t="b">
        <v>1</v>
      </c>
      <c r="N55" s="40" t="str">
        <f>IFERROR(__xludf.DUMMYFUNCTION("""COMPUTED_VALUE"""),"Transportation")</f>
        <v>Transportation</v>
      </c>
      <c r="O55" s="40" t="s">
        <v>15</v>
      </c>
      <c r="P55" s="40">
        <f>IFERROR(__xludf.DUMMYFUNCTION("""COMPUTED_VALUE"""),70.0)</f>
        <v>70</v>
      </c>
      <c r="Q55" s="60">
        <f>IFERROR(__xludf.DUMMYFUNCTION("""COMPUTED_VALUE"""),0.06306306306306306)</f>
        <v>0.06306306306</v>
      </c>
      <c r="R55" s="12"/>
    </row>
    <row r="56">
      <c r="A56" s="54">
        <v>45362.0</v>
      </c>
      <c r="B56" s="38" t="s">
        <v>15</v>
      </c>
      <c r="C56" s="38">
        <v>48.0</v>
      </c>
      <c r="D56" s="38" t="s">
        <v>71</v>
      </c>
      <c r="E56" s="15" t="s">
        <v>76</v>
      </c>
      <c r="F56" s="55"/>
      <c r="G56" s="55"/>
      <c r="H56" s="55"/>
      <c r="I56" s="16"/>
      <c r="M56" s="38" t="b">
        <v>1</v>
      </c>
      <c r="N56" s="38" t="str">
        <f>IFERROR(__xludf.DUMMYFUNCTION("""COMPUTED_VALUE"""),"Coffee")</f>
        <v>Coffee</v>
      </c>
      <c r="O56" s="38" t="s">
        <v>15</v>
      </c>
      <c r="P56" s="38">
        <f>IFERROR(__xludf.DUMMYFUNCTION("""COMPUTED_VALUE"""),62.0)</f>
        <v>62</v>
      </c>
      <c r="Q56" s="61">
        <f>IFERROR(__xludf.DUMMYFUNCTION("""COMPUTED_VALUE"""),0.055855855855855854)</f>
        <v>0.05585585586</v>
      </c>
      <c r="R56" s="58"/>
    </row>
    <row r="57">
      <c r="A57" s="59">
        <v>45363.0</v>
      </c>
      <c r="B57" s="40" t="s">
        <v>15</v>
      </c>
      <c r="C57" s="40">
        <v>40.0</v>
      </c>
      <c r="D57" s="40" t="s">
        <v>71</v>
      </c>
      <c r="E57" s="20" t="s">
        <v>77</v>
      </c>
      <c r="F57" s="53"/>
      <c r="G57" s="53"/>
      <c r="H57" s="53"/>
      <c r="I57" s="21"/>
      <c r="M57" s="40" t="b">
        <v>1</v>
      </c>
      <c r="N57" s="40" t="str">
        <f>IFERROR(__xludf.DUMMYFUNCTION("""COMPUTED_VALUE"""),"Clothing")</f>
        <v>Clothing</v>
      </c>
      <c r="O57" s="40" t="s">
        <v>15</v>
      </c>
      <c r="P57" s="40">
        <f>IFERROR(__xludf.DUMMYFUNCTION("""COMPUTED_VALUE"""),55.0)</f>
        <v>55</v>
      </c>
      <c r="Q57" s="60">
        <f>IFERROR(__xludf.DUMMYFUNCTION("""COMPUTED_VALUE"""),0.04954954954954955)</f>
        <v>0.04954954955</v>
      </c>
      <c r="R57" s="12"/>
    </row>
    <row r="58">
      <c r="A58" s="54">
        <v>45364.0</v>
      </c>
      <c r="B58" s="38" t="s">
        <v>15</v>
      </c>
      <c r="C58" s="38">
        <v>55.0</v>
      </c>
      <c r="D58" s="38" t="s">
        <v>71</v>
      </c>
      <c r="E58" s="15" t="s">
        <v>78</v>
      </c>
      <c r="F58" s="55"/>
      <c r="G58" s="55"/>
      <c r="H58" s="55"/>
      <c r="I58" s="16"/>
      <c r="M58" s="38" t="b">
        <v>1</v>
      </c>
      <c r="N58" s="38" t="str">
        <f>IFERROR(__xludf.DUMMYFUNCTION("""COMPUTED_VALUE"""),"Snacks/Misc")</f>
        <v>Snacks/Misc</v>
      </c>
      <c r="O58" s="38" t="s">
        <v>15</v>
      </c>
      <c r="P58" s="38">
        <f>IFERROR(__xludf.DUMMYFUNCTION("""COMPUTED_VALUE"""),55.0)</f>
        <v>55</v>
      </c>
      <c r="Q58" s="61">
        <f>IFERROR(__xludf.DUMMYFUNCTION("""COMPUTED_VALUE"""),0.04954954954954955)</f>
        <v>0.04954954955</v>
      </c>
      <c r="R58" s="58"/>
    </row>
    <row r="59">
      <c r="A59" s="59">
        <v>45365.0</v>
      </c>
      <c r="B59" s="40" t="s">
        <v>15</v>
      </c>
      <c r="C59" s="40">
        <v>30.0</v>
      </c>
      <c r="D59" s="40" t="s">
        <v>71</v>
      </c>
      <c r="E59" s="20" t="s">
        <v>79</v>
      </c>
      <c r="F59" s="53"/>
      <c r="G59" s="53"/>
      <c r="H59" s="53"/>
      <c r="I59" s="21"/>
      <c r="M59" s="40" t="b">
        <v>1</v>
      </c>
      <c r="N59" s="40" t="str">
        <f>IFERROR(__xludf.DUMMYFUNCTION("""COMPUTED_VALUE"""),"Personal Care")</f>
        <v>Personal Care</v>
      </c>
      <c r="O59" s="40" t="s">
        <v>15</v>
      </c>
      <c r="P59" s="40">
        <f>IFERROR(__xludf.DUMMYFUNCTION("""COMPUTED_VALUE"""),48.0)</f>
        <v>48</v>
      </c>
      <c r="Q59" s="60">
        <f>IFERROR(__xludf.DUMMYFUNCTION("""COMPUTED_VALUE"""),0.043243243243243246)</f>
        <v>0.04324324324</v>
      </c>
      <c r="R59" s="12"/>
    </row>
    <row r="60">
      <c r="A60" s="54">
        <v>45368.0</v>
      </c>
      <c r="B60" s="38" t="s">
        <v>15</v>
      </c>
      <c r="C60" s="38">
        <v>20.0</v>
      </c>
      <c r="D60" s="38" t="s">
        <v>71</v>
      </c>
      <c r="E60" s="15" t="s">
        <v>80</v>
      </c>
      <c r="F60" s="55"/>
      <c r="G60" s="55"/>
      <c r="H60" s="55"/>
      <c r="I60" s="16"/>
      <c r="M60" s="38" t="b">
        <v>1</v>
      </c>
      <c r="N60" s="38" t="str">
        <f>IFERROR(__xludf.DUMMYFUNCTION("""COMPUTED_VALUE"""),"Hobbies")</f>
        <v>Hobbies</v>
      </c>
      <c r="O60" s="38" t="s">
        <v>15</v>
      </c>
      <c r="P60" s="38">
        <f>IFERROR(__xludf.DUMMYFUNCTION("""COMPUTED_VALUE"""),40.0)</f>
        <v>40</v>
      </c>
      <c r="Q60" s="61">
        <f>IFERROR(__xludf.DUMMYFUNCTION("""COMPUTED_VALUE"""),0.036036036036036036)</f>
        <v>0.03603603604</v>
      </c>
      <c r="R60" s="58"/>
    </row>
    <row r="61">
      <c r="A61" s="59">
        <v>45369.0</v>
      </c>
      <c r="B61" s="40" t="s">
        <v>15</v>
      </c>
      <c r="C61" s="40">
        <v>175.0</v>
      </c>
      <c r="D61" s="40" t="s">
        <v>71</v>
      </c>
      <c r="E61" s="20" t="s">
        <v>81</v>
      </c>
      <c r="F61" s="53"/>
      <c r="G61" s="53"/>
      <c r="H61" s="53"/>
      <c r="I61" s="21"/>
      <c r="M61" s="40" t="b">
        <v>1</v>
      </c>
      <c r="N61" s="40" t="str">
        <f>IFERROR(__xludf.DUMMYFUNCTION("""COMPUTED_VALUE"""),"Books/Courses")</f>
        <v>Books/Courses</v>
      </c>
      <c r="O61" s="40" t="s">
        <v>15</v>
      </c>
      <c r="P61" s="40">
        <f>IFERROR(__xludf.DUMMYFUNCTION("""COMPUTED_VALUE"""),30.0)</f>
        <v>30</v>
      </c>
      <c r="Q61" s="60">
        <f>IFERROR(__xludf.DUMMYFUNCTION("""COMPUTED_VALUE"""),0.02702702702702703)</f>
        <v>0.02702702703</v>
      </c>
      <c r="R61" s="12"/>
    </row>
    <row r="62">
      <c r="M62" s="38" t="b">
        <v>1</v>
      </c>
      <c r="N62" s="38" t="str">
        <f>IFERROR(__xludf.DUMMYFUNCTION("""COMPUTED_VALUE"""),"Gifts")</f>
        <v>Gifts</v>
      </c>
      <c r="O62" s="38" t="s">
        <v>15</v>
      </c>
      <c r="P62" s="38">
        <f>IFERROR(__xludf.DUMMYFUNCTION("""COMPUTED_VALUE"""),20.0)</f>
        <v>20</v>
      </c>
      <c r="Q62" s="61">
        <f>IFERROR(__xludf.DUMMYFUNCTION("""COMPUTED_VALUE"""),0.018018018018018018)</f>
        <v>0.01801801802</v>
      </c>
      <c r="R62" s="58"/>
    </row>
    <row r="63">
      <c r="A63" s="63"/>
      <c r="B63" s="25"/>
      <c r="C63" s="25"/>
      <c r="D63" s="25"/>
      <c r="E63" s="25"/>
      <c r="F63" s="25"/>
      <c r="G63" s="25"/>
      <c r="H63" s="25"/>
      <c r="I63" s="25"/>
      <c r="M63" s="40"/>
      <c r="N63" s="40" t="s">
        <v>82</v>
      </c>
      <c r="O63" s="40"/>
      <c r="P63" s="40">
        <f>SUM(P49:P62)</f>
        <v>1110</v>
      </c>
      <c r="Q63" s="60">
        <f>SUM(Q51:Q62)</f>
        <v>1</v>
      </c>
      <c r="R63" s="12"/>
    </row>
    <row r="64">
      <c r="A64" s="63"/>
      <c r="B64" s="25"/>
      <c r="C64" s="25"/>
      <c r="D64" s="25"/>
      <c r="E64" s="25"/>
      <c r="F64" s="25"/>
      <c r="G64" s="25"/>
      <c r="H64" s="25"/>
      <c r="I64" s="25"/>
    </row>
    <row r="69">
      <c r="A69" s="63"/>
      <c r="B69" s="25"/>
      <c r="C69" s="25"/>
      <c r="D69" s="25"/>
      <c r="E69" s="25"/>
      <c r="F69" s="25"/>
      <c r="G69" s="25"/>
      <c r="H69" s="25"/>
      <c r="I69" s="25"/>
    </row>
    <row r="70">
      <c r="A70" s="63"/>
      <c r="B70" s="25"/>
      <c r="C70" s="25"/>
      <c r="D70" s="25"/>
      <c r="E70" s="25"/>
      <c r="F70" s="25"/>
      <c r="G70" s="25"/>
      <c r="H70" s="25"/>
      <c r="I70" s="25"/>
    </row>
    <row r="71">
      <c r="A71" s="63"/>
      <c r="B71" s="25"/>
      <c r="C71" s="25"/>
      <c r="D71" s="25"/>
      <c r="E71" s="25"/>
      <c r="F71" s="25"/>
      <c r="G71" s="25"/>
      <c r="H71" s="25"/>
      <c r="I71" s="25"/>
      <c r="M71" s="25"/>
      <c r="N71" s="25"/>
      <c r="O71" s="25"/>
      <c r="P71" s="25"/>
      <c r="Q71" s="25"/>
    </row>
    <row r="72">
      <c r="M72" s="25"/>
      <c r="N72" s="25"/>
      <c r="O72" s="25"/>
      <c r="P72" s="25"/>
      <c r="Q72" s="25"/>
    </row>
    <row r="73">
      <c r="M73" s="64"/>
      <c r="N73" s="25"/>
      <c r="O73" s="65"/>
      <c r="P73" s="25"/>
      <c r="Q73" s="25"/>
    </row>
    <row r="74">
      <c r="A74" s="63"/>
      <c r="B74" s="25"/>
      <c r="C74" s="25"/>
      <c r="D74" s="25"/>
      <c r="E74" s="25"/>
      <c r="F74" s="25"/>
      <c r="G74" s="25"/>
      <c r="H74" s="25"/>
      <c r="I74" s="25"/>
      <c r="M74" s="64"/>
      <c r="N74" s="25"/>
      <c r="O74" s="65"/>
      <c r="P74" s="25"/>
      <c r="Q74" s="25"/>
    </row>
    <row r="75">
      <c r="A75" s="63"/>
      <c r="B75" s="25"/>
      <c r="C75" s="25"/>
      <c r="D75" s="25"/>
      <c r="E75" s="25"/>
      <c r="F75" s="25"/>
      <c r="G75" s="25"/>
      <c r="H75" s="25"/>
      <c r="I75" s="25"/>
      <c r="M75" s="64"/>
      <c r="N75" s="25"/>
      <c r="O75" s="65"/>
      <c r="P75" s="25"/>
      <c r="Q75" s="25"/>
    </row>
    <row r="76">
      <c r="A76" s="63"/>
      <c r="B76" s="25"/>
      <c r="C76" s="25"/>
      <c r="D76" s="25"/>
      <c r="E76" s="25"/>
      <c r="F76" s="25"/>
      <c r="G76" s="25"/>
      <c r="H76" s="25"/>
      <c r="I76" s="25"/>
      <c r="M76" s="64"/>
      <c r="N76" s="25"/>
      <c r="O76" s="65"/>
      <c r="P76" s="25"/>
      <c r="Q76" s="25"/>
    </row>
    <row r="77">
      <c r="A77" s="63"/>
      <c r="B77" s="25"/>
      <c r="C77" s="25"/>
      <c r="D77" s="25"/>
      <c r="E77" s="25"/>
      <c r="F77" s="25"/>
      <c r="G77" s="25"/>
      <c r="H77" s="25"/>
      <c r="I77" s="25"/>
      <c r="M77" s="64"/>
      <c r="N77" s="25"/>
      <c r="O77" s="65"/>
      <c r="P77" s="25"/>
      <c r="Q77" s="25"/>
    </row>
    <row r="78">
      <c r="A78" s="63"/>
      <c r="B78" s="25"/>
      <c r="C78" s="25"/>
      <c r="D78" s="25"/>
      <c r="E78" s="25"/>
      <c r="F78" s="25"/>
      <c r="G78" s="25"/>
      <c r="H78" s="25"/>
      <c r="I78" s="25"/>
      <c r="M78" s="64"/>
      <c r="N78" s="25"/>
      <c r="O78" s="65"/>
      <c r="P78" s="25"/>
      <c r="Q78" s="25"/>
    </row>
    <row r="79">
      <c r="A79" s="63"/>
      <c r="B79" s="25"/>
      <c r="C79" s="25"/>
      <c r="D79" s="25"/>
      <c r="E79" s="25"/>
      <c r="F79" s="25"/>
      <c r="G79" s="25"/>
      <c r="H79" s="25"/>
      <c r="I79" s="25"/>
      <c r="M79" s="63"/>
      <c r="N79" s="25"/>
      <c r="O79" s="65"/>
      <c r="P79" s="25"/>
      <c r="Q79" s="25"/>
    </row>
    <row r="80">
      <c r="M80" s="63"/>
      <c r="N80" s="25"/>
      <c r="O80" s="65"/>
      <c r="P80" s="25"/>
      <c r="Q80" s="25"/>
    </row>
    <row r="81">
      <c r="M81" s="63"/>
      <c r="N81" s="25"/>
      <c r="O81" s="65"/>
      <c r="P81" s="25"/>
      <c r="Q81" s="25"/>
    </row>
    <row r="82">
      <c r="M82" s="63"/>
      <c r="N82" s="25"/>
      <c r="O82" s="65"/>
      <c r="P82" s="25"/>
      <c r="Q82" s="25"/>
    </row>
    <row r="83">
      <c r="M83" s="63"/>
      <c r="N83" s="25"/>
      <c r="O83" s="65"/>
      <c r="P83" s="25"/>
      <c r="Q83" s="25"/>
    </row>
    <row r="84">
      <c r="M84" s="63"/>
      <c r="N84" s="25"/>
      <c r="O84" s="65"/>
      <c r="P84" s="25"/>
      <c r="Q84" s="25"/>
    </row>
    <row r="85">
      <c r="M85" s="25"/>
      <c r="N85" s="25"/>
      <c r="O85" s="65"/>
    </row>
  </sheetData>
  <mergeCells count="46">
    <mergeCell ref="Q62:R62"/>
    <mergeCell ref="Q63:R63"/>
    <mergeCell ref="E60:I60"/>
    <mergeCell ref="E61:I61"/>
    <mergeCell ref="Q61:R61"/>
    <mergeCell ref="Q60:R60"/>
    <mergeCell ref="E50:I50"/>
    <mergeCell ref="E51:I51"/>
    <mergeCell ref="A24:D25"/>
    <mergeCell ref="A35:D36"/>
    <mergeCell ref="Q52:R52"/>
    <mergeCell ref="M47:R49"/>
    <mergeCell ref="Q51:R51"/>
    <mergeCell ref="Q50:R50"/>
    <mergeCell ref="A8:B8"/>
    <mergeCell ref="C8:D8"/>
    <mergeCell ref="A9:B9"/>
    <mergeCell ref="C9:D9"/>
    <mergeCell ref="A12:D13"/>
    <mergeCell ref="F12:K13"/>
    <mergeCell ref="M12:R13"/>
    <mergeCell ref="T12:Y13"/>
    <mergeCell ref="A1:D1"/>
    <mergeCell ref="A2:D2"/>
    <mergeCell ref="A4:D5"/>
    <mergeCell ref="A6:B6"/>
    <mergeCell ref="C6:D6"/>
    <mergeCell ref="A7:B7"/>
    <mergeCell ref="C7:D7"/>
    <mergeCell ref="Q54:R54"/>
    <mergeCell ref="Q53:R53"/>
    <mergeCell ref="Q59:R59"/>
    <mergeCell ref="Q58:R58"/>
    <mergeCell ref="Q57:R57"/>
    <mergeCell ref="Q56:R56"/>
    <mergeCell ref="Q55:R55"/>
    <mergeCell ref="E59:I59"/>
    <mergeCell ref="E52:I52"/>
    <mergeCell ref="E53:I53"/>
    <mergeCell ref="E55:I55"/>
    <mergeCell ref="E54:I54"/>
    <mergeCell ref="E56:I56"/>
    <mergeCell ref="E57:I57"/>
    <mergeCell ref="E58:I58"/>
    <mergeCell ref="A47:K48"/>
    <mergeCell ref="E49:I49"/>
  </mergeCells>
  <dataValidations>
    <dataValidation type="list" allowBlank="1" showErrorMessage="1" sqref="F2">
      <formula1>"Left to Spend,Left to budget"</formula1>
    </dataValidation>
    <dataValidation type="custom" allowBlank="1" showDropDown="1" sqref="A50:A61 A63:A64 A69:A71 A74:A79">
      <formula1>OR(NOT(ISERROR(DATEVALUE(A50))), AND(ISNUMBER(A50), LEFT(CELL("format", A50))="D"))</formula1>
    </dataValidation>
  </dataValidations>
  <drawing r:id="rId1"/>
  <tableParts count="3">
    <tablePart r:id="rId5"/>
    <tablePart r:id="rId6"/>
    <tablePart r:id="rId7"/>
  </tableParts>
</worksheet>
</file>